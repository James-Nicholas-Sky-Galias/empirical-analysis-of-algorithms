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ed\Downloads\"/>
    </mc:Choice>
  </mc:AlternateContent>
  <xr:revisionPtr revIDLastSave="0" documentId="13_ncr:1_{6F25150C-107E-4EBE-8B85-13FA694A0EED}" xr6:coauthVersionLast="47" xr6:coauthVersionMax="47" xr10:uidLastSave="{00000000-0000-0000-0000-000000000000}"/>
  <bookViews>
    <workbookView xWindow="-108" yWindow="-108" windowWidth="23256" windowHeight="12456" xr2:uid="{9E61F0E5-8B6C-476A-93E5-6CAD80F0F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1" l="1"/>
  <c r="G26" i="1"/>
  <c r="G27" i="1"/>
  <c r="G28" i="1"/>
  <c r="G29" i="1"/>
  <c r="G30" i="1"/>
  <c r="G31" i="1"/>
  <c r="G34" i="1"/>
  <c r="G35" i="1"/>
  <c r="G36" i="1"/>
  <c r="G37" i="1"/>
  <c r="G38" i="1"/>
  <c r="G39" i="1"/>
  <c r="G43" i="1"/>
  <c r="G44" i="1"/>
  <c r="G45" i="1"/>
  <c r="G46" i="1"/>
  <c r="G47" i="1"/>
  <c r="G48" i="1"/>
  <c r="G74" i="1"/>
  <c r="G75" i="1"/>
  <c r="G76" i="1"/>
  <c r="G77" i="1"/>
  <c r="G79" i="1"/>
  <c r="G83" i="1"/>
  <c r="G84" i="1"/>
  <c r="G85" i="1"/>
  <c r="G86" i="1"/>
  <c r="G87" i="1"/>
  <c r="G88" i="1"/>
  <c r="G91" i="1"/>
  <c r="G92" i="1"/>
  <c r="G93" i="1"/>
  <c r="G94" i="1"/>
  <c r="G95" i="1"/>
  <c r="G96" i="1"/>
  <c r="G99" i="1"/>
  <c r="G100" i="1"/>
  <c r="G101" i="1"/>
  <c r="G102" i="1"/>
  <c r="G103" i="1"/>
  <c r="G104" i="1"/>
</calcChain>
</file>

<file path=xl/sharedStrings.xml><?xml version="1.0" encoding="utf-8"?>
<sst xmlns="http://schemas.openxmlformats.org/spreadsheetml/2006/main" count="183" uniqueCount="30">
  <si>
    <t>Random Generated</t>
  </si>
  <si>
    <t>Algorithm</t>
  </si>
  <si>
    <t>Run 1</t>
  </si>
  <si>
    <t>Run 2</t>
  </si>
  <si>
    <t>Run 3</t>
  </si>
  <si>
    <t>Run 4</t>
  </si>
  <si>
    <t>Run 5</t>
  </si>
  <si>
    <t>Avg For N = 100000</t>
  </si>
  <si>
    <t>Bubble</t>
  </si>
  <si>
    <t>Selection</t>
  </si>
  <si>
    <t>Insertion</t>
  </si>
  <si>
    <t>Merge</t>
  </si>
  <si>
    <t>Quick</t>
  </si>
  <si>
    <t>Heap</t>
  </si>
  <si>
    <t>Avg For N = 10000</t>
  </si>
  <si>
    <t>Avg For N = 1000</t>
  </si>
  <si>
    <t>Avg For N = 100</t>
  </si>
  <si>
    <t>Avg For N = 10</t>
  </si>
  <si>
    <t>Sorted </t>
  </si>
  <si>
    <t>Avg For N = 1000000</t>
  </si>
  <si>
    <t>Sorted Array</t>
  </si>
  <si>
    <t>.222.</t>
  </si>
  <si>
    <t>n</t>
  </si>
  <si>
    <t>bubble</t>
  </si>
  <si>
    <t>selection</t>
  </si>
  <si>
    <t>insertion</t>
  </si>
  <si>
    <t>merge</t>
  </si>
  <si>
    <t>quick</t>
  </si>
  <si>
    <t>heap</t>
  </si>
  <si>
    <t>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</si>
</sst>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1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Sorted Array</a:t>
            </a:r>
          </a:p>
          <a:p>
            <a:pPr>
              <a:defRPr/>
            </a:pP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Sheet1!$J$97</c:f>
              <c:strCache>
                <c:ptCount val="1"/>
                <c:pt idx="0">
                  <c:v>Bubble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Sheet1!$J$99:$J$104</c15:sqref>
                  </c15:fullRef>
                </c:ext>
              </c:extLst>
              <c:f>Sheet1!$J$100:$J$104</c:f>
              <c:numCache>
                <c:formatCode>General</c:formatCode>
                <c:ptCount val="5"/>
                <c:pt idx="0">
                  <c:v>0</c:v>
                </c:pt>
                <c:pt idx="1">
                  <c:v>2E-3</c:v>
                </c:pt>
                <c:pt idx="2">
                  <c:v>5.1000000000000004E-2</c:v>
                </c:pt>
                <c:pt idx="3">
                  <c:v>8.2346000000000004</c:v>
                </c:pt>
                <c:pt idx="4">
                  <c:v>1010.3308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F8-49E5-B9FA-EEBB2687A1D7}"/>
            </c:ext>
          </c:extLst>
        </c:ser>
        <c:ser>
          <c:idx val="2"/>
          <c:order val="1"/>
          <c:tx>
            <c:strRef>
              <c:f>Sheet1!$K$97</c:f>
              <c:strCache>
                <c:ptCount val="1"/>
                <c:pt idx="0">
                  <c:v>Selection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Sheet1!$K$99:$K$104</c15:sqref>
                  </c15:fullRef>
                </c:ext>
              </c:extLst>
              <c:f>Sheet1!$K$100:$K$104</c:f>
              <c:numCache>
                <c:formatCode>General</c:formatCode>
                <c:ptCount val="5"/>
                <c:pt idx="0">
                  <c:v>0</c:v>
                </c:pt>
                <c:pt idx="1">
                  <c:v>1.8000000000000002E-3</c:v>
                </c:pt>
                <c:pt idx="2">
                  <c:v>0.11300000000000002</c:v>
                </c:pt>
                <c:pt idx="3">
                  <c:v>4.7166000000000006</c:v>
                </c:pt>
                <c:pt idx="4">
                  <c:v>1094.8928000000001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F8-49E5-B9FA-EEBB2687A1D7}"/>
            </c:ext>
          </c:extLst>
        </c:ser>
        <c:ser>
          <c:idx val="3"/>
          <c:order val="2"/>
          <c:tx>
            <c:strRef>
              <c:f>Sheet1!$L$97</c:f>
              <c:strCache>
                <c:ptCount val="1"/>
                <c:pt idx="0">
                  <c:v>Insertion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Sheet1!$L$99:$L$104</c15:sqref>
                  </c15:fullRef>
                </c:ext>
              </c:extLst>
              <c:f>Sheet1!$L$100:$L$104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4.0000000000000002E-4</c:v>
                </c:pt>
                <c:pt idx="4">
                  <c:v>3.0000000000000005E-3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F8-49E5-B9FA-EEBB2687A1D7}"/>
            </c:ext>
          </c:extLst>
        </c:ser>
        <c:ser>
          <c:idx val="4"/>
          <c:order val="3"/>
          <c:tx>
            <c:strRef>
              <c:f>Sheet1!$M$97</c:f>
              <c:strCache>
                <c:ptCount val="1"/>
                <c:pt idx="0">
                  <c:v>Merge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Sheet1!$M$99:$M$104</c15:sqref>
                  </c15:fullRef>
                </c:ext>
              </c:extLst>
              <c:f>Sheet1!$M$100:$M$104</c:f>
              <c:numCache>
                <c:formatCode>General</c:formatCode>
                <c:ptCount val="5"/>
                <c:pt idx="0">
                  <c:v>0</c:v>
                </c:pt>
                <c:pt idx="1">
                  <c:v>6.0000000000000006E-4</c:v>
                </c:pt>
                <c:pt idx="2">
                  <c:v>3.0000000000000001E-3</c:v>
                </c:pt>
                <c:pt idx="3">
                  <c:v>1.4599999999999998E-2</c:v>
                </c:pt>
                <c:pt idx="4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F8-49E5-B9FA-EEBB2687A1D7}"/>
            </c:ext>
          </c:extLst>
        </c:ser>
        <c:ser>
          <c:idx val="5"/>
          <c:order val="4"/>
          <c:tx>
            <c:strRef>
              <c:f>Sheet1!$N$97</c:f>
              <c:strCache>
                <c:ptCount val="1"/>
                <c:pt idx="0">
                  <c:v>Quick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Sheet1!$N$99:$N$104</c15:sqref>
                  </c15:fullRef>
                </c:ext>
              </c:extLst>
              <c:f>Sheet1!$N$100:$N$104</c:f>
              <c:numCache>
                <c:formatCode>General</c:formatCode>
                <c:ptCount val="5"/>
                <c:pt idx="0">
                  <c:v>0</c:v>
                </c:pt>
                <c:pt idx="1">
                  <c:v>2.0000000000000001E-4</c:v>
                </c:pt>
                <c:pt idx="2">
                  <c:v>4.0000000000000002E-4</c:v>
                </c:pt>
                <c:pt idx="3">
                  <c:v>6.7999999999999988E-3</c:v>
                </c:pt>
                <c:pt idx="4">
                  <c:v>0.23899999999999996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F8-49E5-B9FA-EEBB2687A1D7}"/>
            </c:ext>
          </c:extLst>
        </c:ser>
        <c:ser>
          <c:idx val="6"/>
          <c:order val="5"/>
          <c:tx>
            <c:strRef>
              <c:f>Sheet1!$O$97</c:f>
              <c:strCache>
                <c:ptCount val="1"/>
                <c:pt idx="0">
                  <c:v>Heap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Sheet1!$O$99:$O$104</c15:sqref>
                  </c15:fullRef>
                </c:ext>
              </c:extLst>
              <c:f>Sheet1!$O$100:$O$104</c:f>
              <c:numCache>
                <c:formatCode>General</c:formatCode>
                <c:ptCount val="5"/>
                <c:pt idx="0">
                  <c:v>0</c:v>
                </c:pt>
                <c:pt idx="1">
                  <c:v>2.0000000000000001E-4</c:v>
                </c:pt>
                <c:pt idx="2">
                  <c:v>2.4000000000000002E-3</c:v>
                </c:pt>
                <c:pt idx="3">
                  <c:v>1.3999999999999999E-2</c:v>
                </c:pt>
                <c:pt idx="4">
                  <c:v>0.16140000000000002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F8-49E5-B9FA-EEBB2687A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54224"/>
        <c:axId val="42558064"/>
      </c:lineChart>
      <c:catAx>
        <c:axId val="425542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8064"/>
        <c:crosses val="autoZero"/>
        <c:auto val="1"/>
        <c:lblAlgn val="ctr"/>
        <c:lblOffset val="100"/>
        <c:noMultiLvlLbl val="0"/>
      </c:catAx>
      <c:valAx>
        <c:axId val="425580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Sheet1!$J$97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Sheet1!$J$99:$J$104</c15:sqref>
                  </c15:fullRef>
                </c:ext>
              </c:extLst>
              <c:f>Sheet1!$J$100:$J$104</c:f>
              <c:numCache>
                <c:formatCode>General</c:formatCode>
                <c:ptCount val="5"/>
                <c:pt idx="0">
                  <c:v>0</c:v>
                </c:pt>
                <c:pt idx="1">
                  <c:v>2E-3</c:v>
                </c:pt>
                <c:pt idx="2">
                  <c:v>5.1000000000000004E-2</c:v>
                </c:pt>
                <c:pt idx="3">
                  <c:v>8.2346000000000004</c:v>
                </c:pt>
                <c:pt idx="4">
                  <c:v>1010.3308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50-453A-AF89-B6138378EDC8}"/>
            </c:ext>
          </c:extLst>
        </c:ser>
        <c:ser>
          <c:idx val="2"/>
          <c:order val="2"/>
          <c:tx>
            <c:strRef>
              <c:f>Sheet1!$K$97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Sheet1!$K$99:$K$104</c15:sqref>
                  </c15:fullRef>
                </c:ext>
              </c:extLst>
              <c:f>Sheet1!$K$100:$K$104</c:f>
              <c:numCache>
                <c:formatCode>General</c:formatCode>
                <c:ptCount val="5"/>
                <c:pt idx="0">
                  <c:v>0</c:v>
                </c:pt>
                <c:pt idx="1">
                  <c:v>1.8000000000000002E-3</c:v>
                </c:pt>
                <c:pt idx="2">
                  <c:v>0.11300000000000002</c:v>
                </c:pt>
                <c:pt idx="3">
                  <c:v>4.7166000000000006</c:v>
                </c:pt>
                <c:pt idx="4">
                  <c:v>1094.8928000000001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50-453A-AF89-B6138378EDC8}"/>
            </c:ext>
          </c:extLst>
        </c:ser>
        <c:ser>
          <c:idx val="3"/>
          <c:order val="3"/>
          <c:tx>
            <c:strRef>
              <c:f>Sheet1!$L$97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Sheet1!$L$99:$L$104</c15:sqref>
                  </c15:fullRef>
                </c:ext>
              </c:extLst>
              <c:f>Sheet1!$L$100:$L$104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4.0000000000000002E-4</c:v>
                </c:pt>
                <c:pt idx="4">
                  <c:v>3.0000000000000005E-3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50-453A-AF89-B6138378EDC8}"/>
            </c:ext>
          </c:extLst>
        </c:ser>
        <c:ser>
          <c:idx val="4"/>
          <c:order val="4"/>
          <c:tx>
            <c:strRef>
              <c:f>Sheet1!$M$97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Sheet1!$M$99:$M$104</c15:sqref>
                  </c15:fullRef>
                </c:ext>
              </c:extLst>
              <c:f>Sheet1!$M$100:$M$104</c:f>
              <c:numCache>
                <c:formatCode>General</c:formatCode>
                <c:ptCount val="5"/>
                <c:pt idx="0">
                  <c:v>0</c:v>
                </c:pt>
                <c:pt idx="1">
                  <c:v>6.0000000000000006E-4</c:v>
                </c:pt>
                <c:pt idx="2">
                  <c:v>3.0000000000000001E-3</c:v>
                </c:pt>
                <c:pt idx="3">
                  <c:v>1.4599999999999998E-2</c:v>
                </c:pt>
                <c:pt idx="4">
                  <c:v>0.157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50-453A-AF89-B6138378EDC8}"/>
            </c:ext>
          </c:extLst>
        </c:ser>
        <c:ser>
          <c:idx val="5"/>
          <c:order val="5"/>
          <c:tx>
            <c:strRef>
              <c:f>Sheet1!$N$97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Sheet1!$N$99:$N$104</c15:sqref>
                  </c15:fullRef>
                </c:ext>
              </c:extLst>
              <c:f>Sheet1!$N$100:$N$104</c:f>
              <c:numCache>
                <c:formatCode>General</c:formatCode>
                <c:ptCount val="5"/>
                <c:pt idx="0">
                  <c:v>0</c:v>
                </c:pt>
                <c:pt idx="1">
                  <c:v>2.0000000000000001E-4</c:v>
                </c:pt>
                <c:pt idx="2">
                  <c:v>4.0000000000000002E-4</c:v>
                </c:pt>
                <c:pt idx="3">
                  <c:v>6.7999999999999988E-3</c:v>
                </c:pt>
                <c:pt idx="4">
                  <c:v>0.23899999999999996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50-453A-AF89-B6138378EDC8}"/>
            </c:ext>
          </c:extLst>
        </c:ser>
        <c:ser>
          <c:idx val="6"/>
          <c:order val="6"/>
          <c:tx>
            <c:strRef>
              <c:f>Sheet1!$O$97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Sheet1!$I$97:$I$104</c15:sqref>
                  </c15:fullRef>
                </c:ext>
              </c:extLst>
              <c:f>Sheet1!$I$98:$I$104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Sheet1!$O$99:$O$104</c15:sqref>
                  </c15:fullRef>
                </c:ext>
              </c:extLst>
              <c:f>Sheet1!$O$100:$O$104</c:f>
              <c:numCache>
                <c:formatCode>General</c:formatCode>
                <c:ptCount val="5"/>
                <c:pt idx="0">
                  <c:v>0</c:v>
                </c:pt>
                <c:pt idx="1">
                  <c:v>2.0000000000000001E-4</c:v>
                </c:pt>
                <c:pt idx="2">
                  <c:v>2.4000000000000002E-3</c:v>
                </c:pt>
                <c:pt idx="3">
                  <c:v>1.3999999999999999E-2</c:v>
                </c:pt>
                <c:pt idx="4">
                  <c:v>0.16140000000000002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750-453A-AF89-B6138378E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235072"/>
        <c:axId val="18572317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Sheet1!$I$97</c15:sqref>
                        </c15:formulaRef>
                      </c:ext>
                    </c:extLst>
                    <c:strCache>
                      <c:ptCount val="1"/>
                      <c:pt idx="0">
                        <c:v>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Sheet1!$I$97:$I$104</c15:sqref>
                        </c15:fullRef>
                        <c15:formulaRef>
                          <c15:sqref>Sheet1!$I$98:$I$104</c15:sqref>
                        </c15:formulaRef>
                      </c:ext>
                    </c:extLst>
                    <c:strCache>
                      <c:ptCount val="7"/>
                      <c:pt idx="0">
                        <c:v>0</c:v>
                      </c:pt>
                      <c:pt idx="1">
                        <c:v>10</c:v>
                      </c:pt>
                      <c:pt idx="2">
                        <c:v>100</c:v>
                      </c:pt>
                      <c:pt idx="3">
                        <c:v>1000</c:v>
                      </c:pt>
                      <c:pt idx="4">
                        <c:v>10000</c:v>
                      </c:pt>
                      <c:pt idx="5">
                        <c:v>100000</c:v>
                      </c:pt>
                      <c:pt idx="6">
                        <c:v>1000000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Sheet1!$I$99:$I$104</c15:sqref>
                        </c15:fullRef>
                        <c15:formulaRef>
                          <c15:sqref>Sheet1!$I$100:$I$104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100</c:v>
                      </c:pt>
                      <c:pt idx="1">
                        <c:v>1000</c:v>
                      </c:pt>
                      <c:pt idx="2">
                        <c:v>10000</c:v>
                      </c:pt>
                      <c:pt idx="3">
                        <c:v>100000</c:v>
                      </c:pt>
                      <c:pt idx="4">
                        <c:v>1000000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750-453A-AF89-B6138378EDC8}"/>
                  </c:ext>
                </c:extLst>
              </c15:ser>
            </c15:filteredLineSeries>
          </c:ext>
        </c:extLst>
      </c:lineChart>
      <c:catAx>
        <c:axId val="185723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31712"/>
        <c:crosses val="autoZero"/>
        <c:auto val="1"/>
        <c:lblAlgn val="ctr"/>
        <c:lblOffset val="100"/>
        <c:noMultiLvlLbl val="0"/>
      </c:catAx>
      <c:valAx>
        <c:axId val="185723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3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Random</a:t>
            </a:r>
            <a:r>
              <a:rPr lang="en-PH" baseline="0"/>
              <a:t> Generated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Sheet1!$J$47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Sheet1!$I$47:$I$54</c15:sqref>
                  </c15:fullRef>
                </c:ext>
              </c:extLst>
              <c:f>Sheet1!$I$48:$I$54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Sheet1!$J$49:$J$54</c15:sqref>
                  </c15:fullRef>
                </c:ext>
              </c:extLst>
              <c:f>Sheet1!$J$50:$J$54</c:f>
              <c:numCache>
                <c:formatCode>General</c:formatCode>
                <c:ptCount val="5"/>
                <c:pt idx="0">
                  <c:v>0</c:v>
                </c:pt>
                <c:pt idx="1">
                  <c:v>3.2000000000000002E-3</c:v>
                </c:pt>
                <c:pt idx="2">
                  <c:v>0.1012</c:v>
                </c:pt>
                <c:pt idx="3">
                  <c:v>27.180799999999998</c:v>
                </c:pt>
                <c:pt idx="4">
                  <c:v>2182.4699999999998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42-4049-A2AC-0B6BAB764129}"/>
            </c:ext>
          </c:extLst>
        </c:ser>
        <c:ser>
          <c:idx val="2"/>
          <c:order val="1"/>
          <c:tx>
            <c:strRef>
              <c:f>Sheet1!$K$47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Sheet1!$I$47:$I$54</c15:sqref>
                  </c15:fullRef>
                </c:ext>
              </c:extLst>
              <c:f>Sheet1!$I$48:$I$54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Sheet1!$K$49:$K$54</c15:sqref>
                  </c15:fullRef>
                </c:ext>
              </c:extLst>
              <c:f>Sheet1!$K$50:$K$54</c:f>
              <c:numCache>
                <c:formatCode>General</c:formatCode>
                <c:ptCount val="5"/>
                <c:pt idx="0">
                  <c:v>0</c:v>
                </c:pt>
                <c:pt idx="1">
                  <c:v>1.2000000000000001E-3</c:v>
                </c:pt>
                <c:pt idx="2">
                  <c:v>6.0999999999999999E-2</c:v>
                </c:pt>
                <c:pt idx="3">
                  <c:v>6.6684000000000001</c:v>
                </c:pt>
                <c:pt idx="4">
                  <c:v>1072.182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42-4049-A2AC-0B6BAB764129}"/>
            </c:ext>
          </c:extLst>
        </c:ser>
        <c:ser>
          <c:idx val="3"/>
          <c:order val="2"/>
          <c:tx>
            <c:strRef>
              <c:f>Sheet1!$L$47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Sheet1!$I$47:$I$54</c15:sqref>
                  </c15:fullRef>
                </c:ext>
              </c:extLst>
              <c:f>Sheet1!$I$48:$I$54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Sheet1!$L$49:$L$54</c15:sqref>
                  </c15:fullRef>
                </c:ext>
              </c:extLst>
              <c:f>Sheet1!$L$50:$L$54</c:f>
              <c:numCache>
                <c:formatCode>General</c:formatCode>
                <c:ptCount val="5"/>
                <c:pt idx="0">
                  <c:v>0</c:v>
                </c:pt>
                <c:pt idx="1">
                  <c:v>1.4E-3</c:v>
                </c:pt>
                <c:pt idx="2">
                  <c:v>3.2600000000000004E-2</c:v>
                </c:pt>
                <c:pt idx="3">
                  <c:v>4.8457999999999997</c:v>
                </c:pt>
                <c:pt idx="4">
                  <c:v>298.04320000000001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42-4049-A2AC-0B6BAB764129}"/>
            </c:ext>
          </c:extLst>
        </c:ser>
        <c:ser>
          <c:idx val="4"/>
          <c:order val="3"/>
          <c:tx>
            <c:strRef>
              <c:f>Sheet1!$M$47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Sheet1!$I$47:$I$54</c15:sqref>
                  </c15:fullRef>
                </c:ext>
              </c:extLst>
              <c:f>Sheet1!$I$48:$I$54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Sheet1!$M$49:$M$54</c15:sqref>
                  </c15:fullRef>
                </c:ext>
              </c:extLst>
              <c:f>Sheet1!$M$50:$M$54</c:f>
              <c:numCache>
                <c:formatCode>General</c:formatCode>
                <c:ptCount val="5"/>
                <c:pt idx="0">
                  <c:v>0</c:v>
                </c:pt>
                <c:pt idx="1">
                  <c:v>6.0000000000000006E-4</c:v>
                </c:pt>
                <c:pt idx="2">
                  <c:v>4.2000000000000006E-3</c:v>
                </c:pt>
                <c:pt idx="3">
                  <c:v>2.1600000000000001E-2</c:v>
                </c:pt>
                <c:pt idx="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42-4049-A2AC-0B6BAB764129}"/>
            </c:ext>
          </c:extLst>
        </c:ser>
        <c:ser>
          <c:idx val="5"/>
          <c:order val="4"/>
          <c:tx>
            <c:strRef>
              <c:f>Sheet1!$N$47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Sheet1!$I$47:$I$54</c15:sqref>
                  </c15:fullRef>
                </c:ext>
              </c:extLst>
              <c:f>Sheet1!$I$48:$I$54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Sheet1!$N$49:$N$54</c15:sqref>
                  </c15:fullRef>
                </c:ext>
              </c:extLst>
              <c:f>Sheet1!$N$50:$N$54</c:f>
              <c:numCache>
                <c:formatCode>General</c:formatCode>
                <c:ptCount val="5"/>
                <c:pt idx="0">
                  <c:v>0</c:v>
                </c:pt>
                <c:pt idx="1">
                  <c:v>4.0000000000000002E-4</c:v>
                </c:pt>
                <c:pt idx="2">
                  <c:v>1.6000000000000001E-3</c:v>
                </c:pt>
                <c:pt idx="3">
                  <c:v>1.0200000000000001E-2</c:v>
                </c:pt>
                <c:pt idx="4">
                  <c:v>0.1176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42-4049-A2AC-0B6BAB764129}"/>
            </c:ext>
          </c:extLst>
        </c:ser>
        <c:ser>
          <c:idx val="6"/>
          <c:order val="5"/>
          <c:tx>
            <c:strRef>
              <c:f>Sheet1!$O$47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Sheet1!$I$47:$I$54</c15:sqref>
                  </c15:fullRef>
                </c:ext>
              </c:extLst>
              <c:f>Sheet1!$I$48:$I$54</c:f>
              <c:strCache>
                <c:ptCount val="7"/>
                <c:pt idx="0">
                  <c:v>0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10000</c:v>
                </c:pt>
                <c:pt idx="5">
                  <c:v>100000</c:v>
                </c:pt>
                <c:pt idx="6">
                  <c:v>1000000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Sheet1!$O$49:$O$54</c15:sqref>
                  </c15:fullRef>
                </c:ext>
              </c:extLst>
              <c:f>Sheet1!$O$50:$O$54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1.8000000000000002E-3</c:v>
                </c:pt>
                <c:pt idx="3">
                  <c:v>1.8599999999999998E-2</c:v>
                </c:pt>
                <c:pt idx="4">
                  <c:v>0.2278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42-4049-A2AC-0B6BAB764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7239392"/>
        <c:axId val="1857228352"/>
      </c:lineChart>
      <c:catAx>
        <c:axId val="185723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28352"/>
        <c:crosses val="autoZero"/>
        <c:auto val="1"/>
        <c:lblAlgn val="ctr"/>
        <c:lblOffset val="100"/>
        <c:noMultiLvlLbl val="0"/>
      </c:catAx>
      <c:valAx>
        <c:axId val="185722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23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214257</xdr:colOff>
      <xdr:row>88</xdr:row>
      <xdr:rowOff>0</xdr:rowOff>
    </xdr:from>
    <xdr:to>
      <xdr:col>42</xdr:col>
      <xdr:colOff>535193</xdr:colOff>
      <xdr:row>98</xdr:row>
      <xdr:rowOff>14343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EF4E579-48F5-3069-4D07-CFC5A2CA8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104</xdr:row>
      <xdr:rowOff>57150</xdr:rowOff>
    </xdr:from>
    <xdr:to>
      <xdr:col>15</xdr:col>
      <xdr:colOff>259080</xdr:colOff>
      <xdr:row>119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05BDE8-E458-9E16-89DC-D68B31AA9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54428</xdr:colOff>
      <xdr:row>54</xdr:row>
      <xdr:rowOff>80010</xdr:rowOff>
    </xdr:from>
    <xdr:to>
      <xdr:col>15</xdr:col>
      <xdr:colOff>359228</xdr:colOff>
      <xdr:row>66</xdr:row>
      <xdr:rowOff>14696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784CAC-B7F1-81F5-E21A-52BA88A7D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F091-2F2F-4175-93D9-C63BB14FD3FC}">
  <dimension ref="A15:O122"/>
  <sheetViews>
    <sheetView tabSelected="1" topLeftCell="A43" zoomScale="70" zoomScaleNormal="70" workbookViewId="0">
      <selection activeCell="U71" sqref="U71"/>
    </sheetView>
  </sheetViews>
  <sheetFormatPr defaultRowHeight="14.4" x14ac:dyDescent="0.3"/>
  <cols>
    <col min="3" max="3" width="10.44140625" customWidth="1"/>
    <col min="7" max="7" width="9.5546875" bestFit="1" customWidth="1"/>
  </cols>
  <sheetData>
    <row r="15" spans="1:7" ht="15" thickBot="1" x14ac:dyDescent="0.35"/>
    <row r="16" spans="1:7" ht="42" thickBot="1" x14ac:dyDescent="0.3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19</v>
      </c>
    </row>
    <row r="17" spans="1:7" ht="15" thickBot="1" x14ac:dyDescent="0.35">
      <c r="A17" s="2" t="s">
        <v>8</v>
      </c>
      <c r="B17" s="2">
        <v>2139.886</v>
      </c>
      <c r="C17" s="2">
        <v>2184.2779999999998</v>
      </c>
      <c r="D17" s="2">
        <v>2196.8560000000002</v>
      </c>
      <c r="E17" s="2">
        <v>2192.46</v>
      </c>
      <c r="F17" s="2">
        <v>2198.8870000000002</v>
      </c>
      <c r="G17" s="2">
        <v>2182.4699999999998</v>
      </c>
    </row>
    <row r="18" spans="1:7" ht="28.2" thickBot="1" x14ac:dyDescent="0.35">
      <c r="A18" s="2" t="s">
        <v>9</v>
      </c>
      <c r="B18" s="2">
        <v>1070.7539999999999</v>
      </c>
      <c r="C18" s="2">
        <v>987.06200000000001</v>
      </c>
      <c r="D18" s="2">
        <v>807.34900000000005</v>
      </c>
      <c r="E18" s="2">
        <v>1322.2650000000001</v>
      </c>
      <c r="F18" s="2">
        <v>1173.48</v>
      </c>
      <c r="G18" s="2">
        <v>1072.182</v>
      </c>
    </row>
    <row r="19" spans="1:7" ht="15" thickBot="1" x14ac:dyDescent="0.35">
      <c r="A19" s="2" t="s">
        <v>10</v>
      </c>
      <c r="B19" s="2">
        <v>289.17599999999999</v>
      </c>
      <c r="C19" s="2">
        <v>298.589</v>
      </c>
      <c r="D19" s="2">
        <v>303.04899999999998</v>
      </c>
      <c r="E19" s="2">
        <v>303.685</v>
      </c>
      <c r="F19" s="2">
        <v>295.71699999999998</v>
      </c>
      <c r="G19" s="2">
        <v>298.04320000000001</v>
      </c>
    </row>
    <row r="20" spans="1:7" ht="15" thickBot="1" x14ac:dyDescent="0.35">
      <c r="A20" s="2" t="s">
        <v>11</v>
      </c>
      <c r="B20" s="2">
        <v>0.222</v>
      </c>
      <c r="C20" s="2">
        <v>0.23599999999999999</v>
      </c>
      <c r="D20" s="2">
        <v>0.22900000000000001</v>
      </c>
      <c r="E20" s="2">
        <v>0.23</v>
      </c>
      <c r="F20" s="2">
        <v>0.23300000000000001</v>
      </c>
      <c r="G20" s="2">
        <v>0.23</v>
      </c>
    </row>
    <row r="21" spans="1:7" ht="15" thickBot="1" x14ac:dyDescent="0.35">
      <c r="A21" s="2" t="s">
        <v>12</v>
      </c>
      <c r="B21" s="2">
        <v>0.115</v>
      </c>
      <c r="C21" s="2">
        <v>0.11899999999999999</v>
      </c>
      <c r="D21" s="2">
        <v>0.12</v>
      </c>
      <c r="E21" s="2">
        <v>0.11899999999999999</v>
      </c>
      <c r="F21" s="2">
        <v>0.115</v>
      </c>
      <c r="G21" s="2">
        <v>0.1176</v>
      </c>
    </row>
    <row r="22" spans="1:7" ht="15" thickBot="1" x14ac:dyDescent="0.35">
      <c r="A22" s="2" t="s">
        <v>13</v>
      </c>
      <c r="B22" s="2">
        <v>0.23499999999999999</v>
      </c>
      <c r="C22" s="2" t="s">
        <v>21</v>
      </c>
      <c r="D22" s="2">
        <v>0.22600000000000001</v>
      </c>
      <c r="E22" s="2">
        <v>0.22600000000000001</v>
      </c>
      <c r="F22" s="2">
        <v>0.23</v>
      </c>
      <c r="G22" s="2">
        <v>0.2278</v>
      </c>
    </row>
    <row r="24" spans="1:7" ht="15" thickBot="1" x14ac:dyDescent="0.35">
      <c r="A24" s="1" t="s">
        <v>0</v>
      </c>
    </row>
    <row r="25" spans="1:7" ht="42" thickBot="1" x14ac:dyDescent="0.35">
      <c r="A25" s="2" t="s">
        <v>1</v>
      </c>
      <c r="B25" s="2" t="s">
        <v>2</v>
      </c>
      <c r="C25" s="2" t="s">
        <v>3</v>
      </c>
      <c r="D25" s="2" t="s">
        <v>4</v>
      </c>
      <c r="E25" s="2" t="s">
        <v>5</v>
      </c>
      <c r="F25" s="2" t="s">
        <v>6</v>
      </c>
      <c r="G25" s="2" t="s">
        <v>7</v>
      </c>
    </row>
    <row r="26" spans="1:7" ht="15" thickBot="1" x14ac:dyDescent="0.35">
      <c r="A26" s="2" t="s">
        <v>8</v>
      </c>
      <c r="B26" s="2">
        <v>31.916</v>
      </c>
      <c r="C26" s="2">
        <v>37.917000000000002</v>
      </c>
      <c r="D26" s="2">
        <v>19.5</v>
      </c>
      <c r="E26" s="2">
        <v>21.48</v>
      </c>
      <c r="F26" s="2">
        <v>25.091000000000001</v>
      </c>
      <c r="G26" s="2">
        <f>AVERAGE(B26:F26)</f>
        <v>27.180799999999998</v>
      </c>
    </row>
    <row r="27" spans="1:7" ht="28.2" thickBot="1" x14ac:dyDescent="0.35">
      <c r="A27" s="2" t="s">
        <v>9</v>
      </c>
      <c r="B27" s="2">
        <v>7.8369999999999997</v>
      </c>
      <c r="C27" s="2">
        <v>9.6530000000000005</v>
      </c>
      <c r="D27" s="2">
        <v>4.9420000000000002</v>
      </c>
      <c r="E27" s="2">
        <v>6.1710000000000003</v>
      </c>
      <c r="F27" s="2">
        <v>4.7389999999999999</v>
      </c>
      <c r="G27" s="2">
        <f t="shared" ref="G27:G31" si="0">AVERAGE(B27:F27)</f>
        <v>6.6684000000000001</v>
      </c>
    </row>
    <row r="28" spans="1:7" ht="15" thickBot="1" x14ac:dyDescent="0.35">
      <c r="A28" s="2" t="s">
        <v>10</v>
      </c>
      <c r="B28" s="2">
        <v>2.7810000000000001</v>
      </c>
      <c r="C28" s="2">
        <v>3.4620000000000002</v>
      </c>
      <c r="D28" s="2">
        <v>3.391</v>
      </c>
      <c r="E28" s="2">
        <v>5.6059999999999999</v>
      </c>
      <c r="F28" s="2">
        <v>8.9890000000000008</v>
      </c>
      <c r="G28" s="2">
        <f t="shared" si="0"/>
        <v>4.8457999999999997</v>
      </c>
    </row>
    <row r="29" spans="1:7" ht="15" thickBot="1" x14ac:dyDescent="0.35">
      <c r="A29" s="2" t="s">
        <v>11</v>
      </c>
      <c r="B29" s="2">
        <v>2.3E-2</v>
      </c>
      <c r="C29" s="2">
        <v>1.9E-2</v>
      </c>
      <c r="D29" s="2">
        <v>2.1999999999999999E-2</v>
      </c>
      <c r="E29" s="2">
        <v>2.1000000000000001E-2</v>
      </c>
      <c r="F29" s="2">
        <v>2.3E-2</v>
      </c>
      <c r="G29" s="2">
        <f t="shared" si="0"/>
        <v>2.1600000000000001E-2</v>
      </c>
    </row>
    <row r="30" spans="1:7" ht="15" thickBot="1" x14ac:dyDescent="0.35">
      <c r="A30" s="2" t="s">
        <v>12</v>
      </c>
      <c r="B30" s="2">
        <v>1.2E-2</v>
      </c>
      <c r="C30" s="2">
        <v>1.0999999999999999E-2</v>
      </c>
      <c r="D30" s="2">
        <v>8.9999999999999993E-3</v>
      </c>
      <c r="E30" s="2">
        <v>8.9999999999999993E-3</v>
      </c>
      <c r="F30" s="2">
        <v>0.01</v>
      </c>
      <c r="G30" s="2">
        <f t="shared" si="0"/>
        <v>1.0200000000000001E-2</v>
      </c>
    </row>
    <row r="31" spans="1:7" ht="15" thickBot="1" x14ac:dyDescent="0.35">
      <c r="A31" s="2" t="s">
        <v>13</v>
      </c>
      <c r="B31" s="2">
        <v>2.5000000000000001E-2</v>
      </c>
      <c r="C31" s="2">
        <v>1.6E-2</v>
      </c>
      <c r="D31" s="2">
        <v>1.9E-2</v>
      </c>
      <c r="E31" s="2">
        <v>1.7000000000000001E-2</v>
      </c>
      <c r="F31" s="2">
        <v>1.6E-2</v>
      </c>
      <c r="G31" s="2">
        <f t="shared" si="0"/>
        <v>1.8599999999999998E-2</v>
      </c>
    </row>
    <row r="32" spans="1:7" ht="15" thickBot="1" x14ac:dyDescent="0.35">
      <c r="A32" s="1" t="s">
        <v>0</v>
      </c>
    </row>
    <row r="33" spans="1:15" ht="42" thickBot="1" x14ac:dyDescent="0.35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14</v>
      </c>
    </row>
    <row r="34" spans="1:15" ht="15" thickBot="1" x14ac:dyDescent="0.35">
      <c r="A34" s="2" t="s">
        <v>8</v>
      </c>
      <c r="B34" s="2">
        <v>0.10100000000000001</v>
      </c>
      <c r="C34" s="2">
        <v>9.8000000000000004E-2</v>
      </c>
      <c r="D34" s="2">
        <v>0.104</v>
      </c>
      <c r="E34" s="2">
        <v>9.9000000000000005E-2</v>
      </c>
      <c r="F34" s="2">
        <v>0.104</v>
      </c>
      <c r="G34" s="4">
        <f>AVERAGE(B34:F34)</f>
        <v>0.1012</v>
      </c>
    </row>
    <row r="35" spans="1:15" ht="28.2" thickBot="1" x14ac:dyDescent="0.35">
      <c r="A35" s="2" t="s">
        <v>9</v>
      </c>
      <c r="B35" s="2">
        <v>6.3E-2</v>
      </c>
      <c r="C35" s="2">
        <v>6.2E-2</v>
      </c>
      <c r="D35" s="2">
        <v>6.0999999999999999E-2</v>
      </c>
      <c r="E35" s="2">
        <v>6.0999999999999999E-2</v>
      </c>
      <c r="F35" s="2">
        <v>5.8000000000000003E-2</v>
      </c>
      <c r="G35" s="4">
        <f t="shared" ref="G35:G39" si="1">AVERAGE(B35:F35)</f>
        <v>6.0999999999999999E-2</v>
      </c>
    </row>
    <row r="36" spans="1:15" ht="15" thickBot="1" x14ac:dyDescent="0.35">
      <c r="A36" s="2" t="s">
        <v>10</v>
      </c>
      <c r="B36" s="2">
        <v>3.2000000000000001E-2</v>
      </c>
      <c r="C36" s="2">
        <v>3.1E-2</v>
      </c>
      <c r="D36" s="2">
        <v>3.4000000000000002E-2</v>
      </c>
      <c r="E36" s="2">
        <v>3.4000000000000002E-2</v>
      </c>
      <c r="F36" s="2">
        <v>3.2000000000000001E-2</v>
      </c>
      <c r="G36" s="4">
        <f t="shared" si="1"/>
        <v>3.2600000000000004E-2</v>
      </c>
    </row>
    <row r="37" spans="1:15" ht="15" thickBot="1" x14ac:dyDescent="0.35">
      <c r="A37" s="2" t="s">
        <v>11</v>
      </c>
      <c r="B37" s="2">
        <v>6.0000000000000001E-3</v>
      </c>
      <c r="C37" s="2">
        <v>3.0000000000000001E-3</v>
      </c>
      <c r="D37" s="2">
        <v>7.0000000000000001E-3</v>
      </c>
      <c r="E37" s="2">
        <v>2E-3</v>
      </c>
      <c r="F37" s="2">
        <v>3.0000000000000001E-3</v>
      </c>
      <c r="G37" s="4">
        <f t="shared" si="1"/>
        <v>4.2000000000000006E-3</v>
      </c>
    </row>
    <row r="38" spans="1:15" ht="15" thickBot="1" x14ac:dyDescent="0.35">
      <c r="A38" s="2" t="s">
        <v>12</v>
      </c>
      <c r="B38" s="2">
        <v>1E-3</v>
      </c>
      <c r="C38" s="2">
        <v>1E-3</v>
      </c>
      <c r="D38" s="2">
        <v>2E-3</v>
      </c>
      <c r="E38" s="2">
        <v>2E-3</v>
      </c>
      <c r="F38" s="2">
        <v>2E-3</v>
      </c>
      <c r="G38" s="4">
        <f t="shared" si="1"/>
        <v>1.6000000000000001E-3</v>
      </c>
    </row>
    <row r="39" spans="1:15" ht="15" thickBot="1" x14ac:dyDescent="0.35">
      <c r="A39" s="2" t="s">
        <v>13</v>
      </c>
      <c r="B39" s="2">
        <v>3.0000000000000001E-3</v>
      </c>
      <c r="C39" s="2">
        <v>1E-3</v>
      </c>
      <c r="D39" s="2">
        <v>2E-3</v>
      </c>
      <c r="E39" s="2">
        <v>1E-3</v>
      </c>
      <c r="F39" s="2">
        <v>2E-3</v>
      </c>
      <c r="G39" s="4">
        <f t="shared" si="1"/>
        <v>1.8000000000000002E-3</v>
      </c>
    </row>
    <row r="40" spans="1:15" x14ac:dyDescent="0.3">
      <c r="G40" s="5"/>
    </row>
    <row r="41" spans="1:15" ht="15" thickBot="1" x14ac:dyDescent="0.35">
      <c r="A41" s="1" t="s">
        <v>0</v>
      </c>
      <c r="G41" s="5"/>
    </row>
    <row r="42" spans="1:15" ht="28.2" thickBot="1" x14ac:dyDescent="0.35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  <c r="G42" s="4" t="s">
        <v>15</v>
      </c>
    </row>
    <row r="43" spans="1:15" ht="15" thickBot="1" x14ac:dyDescent="0.35">
      <c r="A43" s="2" t="s">
        <v>8</v>
      </c>
      <c r="B43" s="2">
        <v>3.0000000000000001E-3</v>
      </c>
      <c r="C43" s="2">
        <v>3.0000000000000001E-3</v>
      </c>
      <c r="D43" s="2">
        <v>2E-3</v>
      </c>
      <c r="E43" s="2">
        <v>4.0000000000000001E-3</v>
      </c>
      <c r="F43" s="2">
        <v>4.0000000000000001E-3</v>
      </c>
      <c r="G43" s="4">
        <f>AVERAGE(B43:F43)</f>
        <v>3.2000000000000002E-3</v>
      </c>
    </row>
    <row r="44" spans="1:15" ht="28.2" thickBot="1" x14ac:dyDescent="0.35">
      <c r="A44" s="2" t="s">
        <v>9</v>
      </c>
      <c r="B44" s="2">
        <v>2E-3</v>
      </c>
      <c r="C44" s="2">
        <v>0</v>
      </c>
      <c r="D44" s="2">
        <v>1E-3</v>
      </c>
      <c r="E44" s="2">
        <v>1E-3</v>
      </c>
      <c r="F44" s="2">
        <v>2E-3</v>
      </c>
      <c r="G44" s="4">
        <f t="shared" ref="G44:G48" si="2">AVERAGE(B44:F44)</f>
        <v>1.2000000000000001E-3</v>
      </c>
    </row>
    <row r="45" spans="1:15" ht="15" thickBot="1" x14ac:dyDescent="0.35">
      <c r="A45" s="2" t="s">
        <v>10</v>
      </c>
      <c r="B45" s="2">
        <v>2E-3</v>
      </c>
      <c r="C45" s="2">
        <v>1E-3</v>
      </c>
      <c r="D45" s="2">
        <v>1E-3</v>
      </c>
      <c r="E45" s="2">
        <v>2E-3</v>
      </c>
      <c r="F45" s="2">
        <v>1E-3</v>
      </c>
      <c r="G45" s="4">
        <f t="shared" si="2"/>
        <v>1.4E-3</v>
      </c>
    </row>
    <row r="46" spans="1:15" ht="15" thickBot="1" x14ac:dyDescent="0.35">
      <c r="A46" s="2" t="s">
        <v>11</v>
      </c>
      <c r="B46" s="2">
        <v>0</v>
      </c>
      <c r="C46" s="2">
        <v>1E-3</v>
      </c>
      <c r="D46" s="2">
        <v>1E-3</v>
      </c>
      <c r="E46" s="2">
        <v>1E-3</v>
      </c>
      <c r="F46" s="2">
        <v>0</v>
      </c>
      <c r="G46" s="4">
        <f t="shared" si="2"/>
        <v>6.0000000000000006E-4</v>
      </c>
    </row>
    <row r="47" spans="1:15" ht="15" thickBot="1" x14ac:dyDescent="0.35">
      <c r="A47" s="2" t="s">
        <v>12</v>
      </c>
      <c r="B47" s="2">
        <v>2E-3</v>
      </c>
      <c r="C47" s="2">
        <v>0</v>
      </c>
      <c r="D47" s="2">
        <v>0</v>
      </c>
      <c r="E47" s="2">
        <v>0</v>
      </c>
      <c r="F47" s="2">
        <v>0</v>
      </c>
      <c r="G47" s="4">
        <f t="shared" si="2"/>
        <v>4.0000000000000002E-4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 t="s">
        <v>27</v>
      </c>
      <c r="O47" t="s">
        <v>28</v>
      </c>
    </row>
    <row r="48" spans="1:15" ht="15" thickBot="1" x14ac:dyDescent="0.35">
      <c r="A48" s="2" t="s">
        <v>13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4">
        <f t="shared" si="2"/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</row>
    <row r="49" spans="1:15" x14ac:dyDescent="0.3">
      <c r="G49" s="5"/>
      <c r="I49">
        <v>10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G50" s="5"/>
      <c r="I50">
        <v>100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ht="15" thickBot="1" x14ac:dyDescent="0.35">
      <c r="A51" s="1" t="s">
        <v>0</v>
      </c>
      <c r="G51" s="5"/>
      <c r="I51">
        <v>1000</v>
      </c>
      <c r="J51">
        <v>3.2000000000000002E-3</v>
      </c>
      <c r="K51">
        <v>1.2000000000000001E-3</v>
      </c>
      <c r="L51">
        <v>1.4E-3</v>
      </c>
      <c r="M51">
        <v>6.0000000000000006E-4</v>
      </c>
      <c r="N51">
        <v>4.0000000000000002E-4</v>
      </c>
      <c r="O51">
        <v>0</v>
      </c>
    </row>
    <row r="52" spans="1:15" ht="28.2" thickBot="1" x14ac:dyDescent="0.35">
      <c r="A52" s="2" t="s">
        <v>1</v>
      </c>
      <c r="B52" s="2" t="s">
        <v>2</v>
      </c>
      <c r="C52" s="2" t="s">
        <v>3</v>
      </c>
      <c r="D52" s="2" t="s">
        <v>4</v>
      </c>
      <c r="E52" s="2" t="s">
        <v>5</v>
      </c>
      <c r="F52" s="2" t="s">
        <v>6</v>
      </c>
      <c r="G52" s="4" t="s">
        <v>16</v>
      </c>
      <c r="I52">
        <v>10000</v>
      </c>
      <c r="J52">
        <v>0.1012</v>
      </c>
      <c r="K52">
        <v>6.0999999999999999E-2</v>
      </c>
      <c r="L52">
        <v>3.2600000000000004E-2</v>
      </c>
      <c r="M52">
        <v>4.2000000000000006E-3</v>
      </c>
      <c r="N52">
        <v>1.6000000000000001E-3</v>
      </c>
      <c r="O52">
        <v>1.8000000000000002E-3</v>
      </c>
    </row>
    <row r="53" spans="1:15" ht="15" thickBot="1" x14ac:dyDescent="0.35">
      <c r="A53" s="2" t="s">
        <v>8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4">
        <v>0</v>
      </c>
      <c r="I53">
        <v>100000</v>
      </c>
      <c r="J53">
        <v>27.180799999999998</v>
      </c>
      <c r="K53">
        <v>6.6684000000000001</v>
      </c>
      <c r="L53">
        <v>4.8457999999999997</v>
      </c>
      <c r="M53">
        <v>2.1600000000000001E-2</v>
      </c>
      <c r="N53">
        <v>1.0200000000000001E-2</v>
      </c>
      <c r="O53">
        <v>1.8599999999999998E-2</v>
      </c>
    </row>
    <row r="54" spans="1:15" ht="28.2" thickBot="1" x14ac:dyDescent="0.35">
      <c r="A54" s="2" t="s">
        <v>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4">
        <v>0</v>
      </c>
      <c r="I54">
        <v>1000000</v>
      </c>
      <c r="J54" s="2">
        <v>2182.4699999999998</v>
      </c>
      <c r="K54" s="2">
        <v>1072.182</v>
      </c>
      <c r="L54" s="2">
        <v>298.04320000000001</v>
      </c>
      <c r="M54" s="2">
        <v>0.23</v>
      </c>
      <c r="N54" s="2">
        <v>0.1176</v>
      </c>
      <c r="O54" s="2">
        <v>0.2278</v>
      </c>
    </row>
    <row r="55" spans="1:15" ht="15" thickBot="1" x14ac:dyDescent="0.35">
      <c r="A55" s="2" t="s">
        <v>10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4">
        <v>0</v>
      </c>
    </row>
    <row r="56" spans="1:15" ht="15" thickBot="1" x14ac:dyDescent="0.35">
      <c r="A56" s="2" t="s">
        <v>11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4">
        <v>0</v>
      </c>
    </row>
    <row r="57" spans="1:15" ht="15" thickBot="1" x14ac:dyDescent="0.35">
      <c r="A57" s="2" t="s">
        <v>12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4">
        <v>0</v>
      </c>
    </row>
    <row r="58" spans="1:15" ht="15" thickBot="1" x14ac:dyDescent="0.35">
      <c r="A58" s="2" t="s">
        <v>13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4">
        <v>0</v>
      </c>
    </row>
    <row r="59" spans="1:15" x14ac:dyDescent="0.3">
      <c r="G59" s="5"/>
    </row>
    <row r="60" spans="1:15" ht="15" thickBot="1" x14ac:dyDescent="0.35">
      <c r="A60" s="1" t="s">
        <v>0</v>
      </c>
      <c r="G60" s="5"/>
    </row>
    <row r="61" spans="1:15" ht="28.2" thickBot="1" x14ac:dyDescent="0.35">
      <c r="A61" s="2" t="s">
        <v>1</v>
      </c>
      <c r="B61" s="2" t="s">
        <v>2</v>
      </c>
      <c r="C61" s="2" t="s">
        <v>3</v>
      </c>
      <c r="D61" s="2" t="s">
        <v>4</v>
      </c>
      <c r="E61" s="2" t="s">
        <v>5</v>
      </c>
      <c r="F61" s="2" t="s">
        <v>6</v>
      </c>
      <c r="G61" s="4" t="s">
        <v>17</v>
      </c>
    </row>
    <row r="62" spans="1:15" ht="15" thickBot="1" x14ac:dyDescent="0.35">
      <c r="A62" s="2" t="s">
        <v>8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4">
        <v>0</v>
      </c>
    </row>
    <row r="63" spans="1:15" ht="28.2" thickBot="1" x14ac:dyDescent="0.35">
      <c r="A63" s="2" t="s">
        <v>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4">
        <v>0</v>
      </c>
    </row>
    <row r="64" spans="1:15" ht="15" thickBot="1" x14ac:dyDescent="0.35">
      <c r="A64" s="2" t="s">
        <v>10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4">
        <v>0</v>
      </c>
    </row>
    <row r="65" spans="1:7" ht="15" thickBot="1" x14ac:dyDescent="0.35">
      <c r="A65" s="2" t="s">
        <v>11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4">
        <v>0</v>
      </c>
    </row>
    <row r="66" spans="1:7" ht="15" thickBot="1" x14ac:dyDescent="0.35">
      <c r="A66" s="2" t="s">
        <v>12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4">
        <v>0</v>
      </c>
    </row>
    <row r="67" spans="1:7" ht="15" thickBot="1" x14ac:dyDescent="0.35">
      <c r="A67" s="2" t="s">
        <v>13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4">
        <v>0</v>
      </c>
    </row>
    <row r="68" spans="1:7" x14ac:dyDescent="0.3">
      <c r="G68" s="5"/>
    </row>
    <row r="69" spans="1:7" x14ac:dyDescent="0.3">
      <c r="G69" s="5"/>
    </row>
    <row r="70" spans="1:7" x14ac:dyDescent="0.3">
      <c r="G70" s="5"/>
    </row>
    <row r="71" spans="1:7" x14ac:dyDescent="0.3">
      <c r="G71" s="5"/>
    </row>
    <row r="72" spans="1:7" ht="15" thickBot="1" x14ac:dyDescent="0.35">
      <c r="A72" s="1" t="s">
        <v>18</v>
      </c>
      <c r="G72" s="5"/>
    </row>
    <row r="73" spans="1:7" ht="42" thickBot="1" x14ac:dyDescent="0.35">
      <c r="A73" s="2" t="s">
        <v>1</v>
      </c>
      <c r="B73" s="2" t="s">
        <v>2</v>
      </c>
      <c r="C73" s="2" t="s">
        <v>3</v>
      </c>
      <c r="D73" s="2" t="s">
        <v>4</v>
      </c>
      <c r="E73" s="2" t="s">
        <v>5</v>
      </c>
      <c r="F73" s="2" t="s">
        <v>6</v>
      </c>
      <c r="G73" s="4" t="s">
        <v>19</v>
      </c>
    </row>
    <row r="74" spans="1:7" ht="15" thickBot="1" x14ac:dyDescent="0.35">
      <c r="A74" s="2" t="s">
        <v>8</v>
      </c>
      <c r="B74" s="2">
        <v>519.40800000000002</v>
      </c>
      <c r="C74" s="2">
        <v>787.35500000000002</v>
      </c>
      <c r="D74" s="2">
        <v>1027.7280000000001</v>
      </c>
      <c r="E74" s="2">
        <v>1193.731</v>
      </c>
      <c r="F74" s="2">
        <v>1523.432</v>
      </c>
      <c r="G74" s="6">
        <f>AVERAGE(B74:F74)</f>
        <v>1010.3308</v>
      </c>
    </row>
    <row r="75" spans="1:7" ht="28.2" thickBot="1" x14ac:dyDescent="0.35">
      <c r="A75" s="2" t="s">
        <v>9</v>
      </c>
      <c r="B75" s="2">
        <v>1299.0340000000001</v>
      </c>
      <c r="C75" s="2">
        <v>1171.7860000000001</v>
      </c>
      <c r="D75" s="2">
        <v>1274.56</v>
      </c>
      <c r="E75" s="2">
        <v>1128.9929999999999</v>
      </c>
      <c r="F75" s="2">
        <v>600.09100000000001</v>
      </c>
      <c r="G75" s="6">
        <f t="shared" ref="G75:G79" si="3">AVERAGE(B75:F75)</f>
        <v>1094.8928000000001</v>
      </c>
    </row>
    <row r="76" spans="1:7" ht="15" thickBot="1" x14ac:dyDescent="0.35">
      <c r="A76" s="2" t="s">
        <v>10</v>
      </c>
      <c r="B76" s="2">
        <v>2E-3</v>
      </c>
      <c r="C76" s="2">
        <v>5.0000000000000001E-3</v>
      </c>
      <c r="D76" s="2">
        <v>6.0000000000000001E-3</v>
      </c>
      <c r="E76" s="2">
        <v>1E-3</v>
      </c>
      <c r="F76" s="2">
        <v>1E-3</v>
      </c>
      <c r="G76" s="6">
        <f t="shared" si="3"/>
        <v>3.0000000000000005E-3</v>
      </c>
    </row>
    <row r="77" spans="1:7" ht="15" thickBot="1" x14ac:dyDescent="0.35">
      <c r="A77" s="2" t="s">
        <v>11</v>
      </c>
      <c r="B77" s="2">
        <v>0.17399999999999999</v>
      </c>
      <c r="C77" s="2">
        <v>0.14899999999999999</v>
      </c>
      <c r="D77" s="2">
        <v>0.152</v>
      </c>
      <c r="E77" s="2">
        <v>0.151</v>
      </c>
      <c r="F77" s="2">
        <v>0.159</v>
      </c>
      <c r="G77" s="6">
        <f t="shared" si="3"/>
        <v>0.157</v>
      </c>
    </row>
    <row r="78" spans="1:7" ht="15" thickBot="1" x14ac:dyDescent="0.35">
      <c r="A78" s="2" t="s">
        <v>12</v>
      </c>
      <c r="B78" s="3">
        <v>3.9E-2</v>
      </c>
      <c r="C78" s="3">
        <v>3.5999999999999997E-2</v>
      </c>
      <c r="D78" s="3">
        <v>0.37</v>
      </c>
      <c r="E78" s="3">
        <v>0.38</v>
      </c>
      <c r="F78" s="3">
        <v>0.37</v>
      </c>
      <c r="G78" s="6">
        <f t="shared" si="3"/>
        <v>0.23899999999999996</v>
      </c>
    </row>
    <row r="79" spans="1:7" ht="15" thickBot="1" x14ac:dyDescent="0.35">
      <c r="A79" s="2" t="s">
        <v>13</v>
      </c>
      <c r="B79" s="2">
        <v>0.153</v>
      </c>
      <c r="C79" s="2">
        <v>0.19</v>
      </c>
      <c r="D79" s="2">
        <v>0.155</v>
      </c>
      <c r="E79" s="2">
        <v>0.156</v>
      </c>
      <c r="F79" s="2">
        <v>0.153</v>
      </c>
      <c r="G79" s="6">
        <f t="shared" si="3"/>
        <v>0.16140000000000002</v>
      </c>
    </row>
    <row r="80" spans="1:7" x14ac:dyDescent="0.3">
      <c r="G80" s="5"/>
    </row>
    <row r="81" spans="1:9" ht="15" thickBot="1" x14ac:dyDescent="0.35">
      <c r="A81" s="1" t="s">
        <v>20</v>
      </c>
      <c r="G81" s="5"/>
    </row>
    <row r="82" spans="1:9" ht="42" thickBot="1" x14ac:dyDescent="0.35">
      <c r="A82" s="2" t="s">
        <v>1</v>
      </c>
      <c r="B82" s="2" t="s">
        <v>2</v>
      </c>
      <c r="C82" s="2" t="s">
        <v>3</v>
      </c>
      <c r="D82" s="2" t="s">
        <v>4</v>
      </c>
      <c r="E82" s="2" t="s">
        <v>5</v>
      </c>
      <c r="F82" s="2" t="s">
        <v>6</v>
      </c>
      <c r="G82" s="4" t="s">
        <v>7</v>
      </c>
    </row>
    <row r="83" spans="1:9" ht="15" thickBot="1" x14ac:dyDescent="0.35">
      <c r="A83" s="2" t="s">
        <v>8</v>
      </c>
      <c r="B83" s="2">
        <v>8.8719999999999999</v>
      </c>
      <c r="C83" s="2">
        <v>10.667999999999999</v>
      </c>
      <c r="D83" s="2">
        <v>10.529</v>
      </c>
      <c r="E83" s="2">
        <v>5.7569999999999997</v>
      </c>
      <c r="F83" s="2">
        <v>5.3470000000000004</v>
      </c>
      <c r="G83" s="6">
        <f>AVERAGE(B83:F83)</f>
        <v>8.2346000000000004</v>
      </c>
    </row>
    <row r="84" spans="1:9" ht="28.2" thickBot="1" x14ac:dyDescent="0.35">
      <c r="A84" s="2" t="s">
        <v>9</v>
      </c>
      <c r="B84" s="2">
        <v>4.7720000000000002</v>
      </c>
      <c r="C84" s="2">
        <v>4.9180000000000001</v>
      </c>
      <c r="D84" s="2">
        <v>5.149</v>
      </c>
      <c r="E84" s="2">
        <v>4.5990000000000002</v>
      </c>
      <c r="F84" s="2">
        <v>4.1449999999999996</v>
      </c>
      <c r="G84" s="6">
        <f t="shared" ref="G84:G88" si="4">AVERAGE(B84:F84)</f>
        <v>4.7166000000000006</v>
      </c>
    </row>
    <row r="85" spans="1:9" ht="15" thickBot="1" x14ac:dyDescent="0.35">
      <c r="A85" s="2" t="s">
        <v>10</v>
      </c>
      <c r="B85" s="2">
        <v>0</v>
      </c>
      <c r="C85" s="2">
        <v>2E-3</v>
      </c>
      <c r="D85" s="2">
        <v>0</v>
      </c>
      <c r="E85" s="2">
        <v>0</v>
      </c>
      <c r="F85" s="2">
        <v>0</v>
      </c>
      <c r="G85" s="6">
        <f t="shared" si="4"/>
        <v>4.0000000000000002E-4</v>
      </c>
    </row>
    <row r="86" spans="1:9" ht="15" thickBot="1" x14ac:dyDescent="0.35">
      <c r="A86" s="2" t="s">
        <v>11</v>
      </c>
      <c r="B86" s="2">
        <v>1.4999999999999999E-2</v>
      </c>
      <c r="C86" s="2">
        <v>1.4999999999999999E-2</v>
      </c>
      <c r="D86" s="2">
        <v>1.4999999999999999E-2</v>
      </c>
      <c r="E86" s="2">
        <v>1.4999999999999999E-2</v>
      </c>
      <c r="F86" s="2">
        <v>1.2999999999999999E-2</v>
      </c>
      <c r="G86" s="6">
        <f t="shared" si="4"/>
        <v>1.4599999999999998E-2</v>
      </c>
    </row>
    <row r="87" spans="1:9" ht="15" thickBot="1" x14ac:dyDescent="0.35">
      <c r="A87" s="2" t="s">
        <v>12</v>
      </c>
      <c r="B87" s="3">
        <v>7.0000000000000001E-3</v>
      </c>
      <c r="C87" s="3">
        <v>8.0000000000000002E-3</v>
      </c>
      <c r="D87" s="3">
        <v>1.0999999999999999E-2</v>
      </c>
      <c r="E87" s="3">
        <v>3.0000000000000001E-3</v>
      </c>
      <c r="F87" s="3">
        <v>5.0000000000000001E-3</v>
      </c>
      <c r="G87" s="6">
        <f t="shared" si="4"/>
        <v>6.7999999999999988E-3</v>
      </c>
    </row>
    <row r="88" spans="1:9" ht="15" thickBot="1" x14ac:dyDescent="0.35">
      <c r="A88" s="2" t="s">
        <v>13</v>
      </c>
      <c r="B88" s="2">
        <v>1.6E-2</v>
      </c>
      <c r="C88" s="2">
        <v>1.6E-2</v>
      </c>
      <c r="D88" s="2">
        <v>1.2999999999999999E-2</v>
      </c>
      <c r="E88" s="2">
        <v>1.2E-2</v>
      </c>
      <c r="F88" s="2">
        <v>1.2999999999999999E-2</v>
      </c>
      <c r="G88" s="6">
        <f t="shared" si="4"/>
        <v>1.3999999999999999E-2</v>
      </c>
    </row>
    <row r="89" spans="1:9" ht="15" thickBot="1" x14ac:dyDescent="0.35">
      <c r="A89" s="1" t="s">
        <v>20</v>
      </c>
      <c r="G89" s="5"/>
    </row>
    <row r="90" spans="1:9" ht="42" thickBot="1" x14ac:dyDescent="0.35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 t="s">
        <v>6</v>
      </c>
      <c r="G90" s="4" t="s">
        <v>14</v>
      </c>
    </row>
    <row r="91" spans="1:9" ht="15" thickBot="1" x14ac:dyDescent="0.35">
      <c r="A91" s="2" t="s">
        <v>8</v>
      </c>
      <c r="B91" s="2">
        <v>4.9000000000000002E-2</v>
      </c>
      <c r="C91" s="2">
        <v>5.0999999999999997E-2</v>
      </c>
      <c r="D91" s="2">
        <v>4.9000000000000002E-2</v>
      </c>
      <c r="E91" s="2">
        <v>5.1999999999999998E-2</v>
      </c>
      <c r="F91" s="2">
        <v>5.3999999999999999E-2</v>
      </c>
      <c r="G91" s="6">
        <f>AVERAGE(B91:F91)</f>
        <v>5.1000000000000004E-2</v>
      </c>
    </row>
    <row r="92" spans="1:9" ht="28.2" thickBot="1" x14ac:dyDescent="0.35">
      <c r="A92" s="2" t="s">
        <v>9</v>
      </c>
      <c r="B92" s="2">
        <v>4.7E-2</v>
      </c>
      <c r="C92" s="2">
        <v>3.6999999999999998E-2</v>
      </c>
      <c r="D92" s="2">
        <v>0.4</v>
      </c>
      <c r="E92" s="2">
        <v>0.04</v>
      </c>
      <c r="F92" s="2">
        <v>4.1000000000000002E-2</v>
      </c>
      <c r="G92" s="6">
        <f t="shared" ref="G92:G96" si="5">AVERAGE(B92:F92)</f>
        <v>0.11300000000000002</v>
      </c>
    </row>
    <row r="93" spans="1:9" ht="15" thickBot="1" x14ac:dyDescent="0.35">
      <c r="A93" s="2" t="s">
        <v>10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6">
        <f t="shared" si="5"/>
        <v>0</v>
      </c>
    </row>
    <row r="94" spans="1:9" ht="15" thickBot="1" x14ac:dyDescent="0.35">
      <c r="A94" s="2" t="s">
        <v>11</v>
      </c>
      <c r="B94" s="2">
        <v>3.0000000000000001E-3</v>
      </c>
      <c r="C94" s="2">
        <v>2E-3</v>
      </c>
      <c r="D94" s="2">
        <v>3.0000000000000001E-3</v>
      </c>
      <c r="E94" s="2">
        <v>3.0000000000000001E-3</v>
      </c>
      <c r="F94" s="2">
        <v>4.0000000000000001E-3</v>
      </c>
      <c r="G94" s="6">
        <f t="shared" si="5"/>
        <v>3.0000000000000001E-3</v>
      </c>
    </row>
    <row r="95" spans="1:9" ht="15" thickBot="1" x14ac:dyDescent="0.35">
      <c r="A95" s="2" t="s">
        <v>12</v>
      </c>
      <c r="B95" s="3">
        <v>1E-3</v>
      </c>
      <c r="C95" s="3">
        <v>0</v>
      </c>
      <c r="D95" s="3">
        <v>1E-3</v>
      </c>
      <c r="E95" s="3">
        <v>0</v>
      </c>
      <c r="F95" s="3">
        <v>0</v>
      </c>
      <c r="G95" s="6">
        <f t="shared" si="5"/>
        <v>4.0000000000000002E-4</v>
      </c>
    </row>
    <row r="96" spans="1:9" ht="15" thickBot="1" x14ac:dyDescent="0.35">
      <c r="A96" s="2" t="s">
        <v>13</v>
      </c>
      <c r="B96" s="2">
        <v>2E-3</v>
      </c>
      <c r="C96" s="2">
        <v>3.0000000000000001E-3</v>
      </c>
      <c r="D96" s="2">
        <v>3.0000000000000001E-3</v>
      </c>
      <c r="E96" s="2">
        <v>1E-3</v>
      </c>
      <c r="F96" s="2">
        <v>3.0000000000000001E-3</v>
      </c>
      <c r="G96" s="6">
        <f t="shared" si="5"/>
        <v>2.4000000000000002E-3</v>
      </c>
      <c r="I96" t="s">
        <v>29</v>
      </c>
    </row>
    <row r="97" spans="1:15" ht="15" thickBot="1" x14ac:dyDescent="0.35">
      <c r="A97" s="1" t="s">
        <v>20</v>
      </c>
      <c r="G97" s="5"/>
      <c r="I97" t="s">
        <v>22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t="s">
        <v>13</v>
      </c>
    </row>
    <row r="98" spans="1:15" ht="28.2" thickBot="1" x14ac:dyDescent="0.35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  <c r="G98" s="4" t="s">
        <v>15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ht="15" thickBot="1" x14ac:dyDescent="0.35">
      <c r="A99" s="2" t="s">
        <v>8</v>
      </c>
      <c r="B99" s="2">
        <v>2E-3</v>
      </c>
      <c r="C99" s="2">
        <v>1E-3</v>
      </c>
      <c r="D99" s="2">
        <v>3.0000000000000001E-3</v>
      </c>
      <c r="E99" s="2">
        <v>0</v>
      </c>
      <c r="F99" s="2">
        <v>4.0000000000000001E-3</v>
      </c>
      <c r="G99" s="6">
        <f>AVERAGE(B99:F99)</f>
        <v>2E-3</v>
      </c>
      <c r="I99">
        <v>10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ht="28.2" thickBot="1" x14ac:dyDescent="0.35">
      <c r="A100" s="2" t="s">
        <v>9</v>
      </c>
      <c r="B100" s="2">
        <v>1E-3</v>
      </c>
      <c r="C100" s="2">
        <v>3.0000000000000001E-3</v>
      </c>
      <c r="D100" s="2">
        <v>3.0000000000000001E-3</v>
      </c>
      <c r="E100" s="2">
        <v>0</v>
      </c>
      <c r="F100" s="2">
        <v>2E-3</v>
      </c>
      <c r="G100" s="6">
        <f t="shared" ref="G100:G104" si="6">AVERAGE(B100:F100)</f>
        <v>1.8000000000000002E-3</v>
      </c>
      <c r="I100">
        <v>100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ht="15" thickBot="1" x14ac:dyDescent="0.35">
      <c r="A101" s="2" t="s">
        <v>10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6">
        <f t="shared" si="6"/>
        <v>0</v>
      </c>
      <c r="I101">
        <v>1000</v>
      </c>
      <c r="J101">
        <v>2E-3</v>
      </c>
      <c r="K101">
        <v>1.8000000000000002E-3</v>
      </c>
      <c r="L101">
        <v>0</v>
      </c>
      <c r="M101">
        <v>6.0000000000000006E-4</v>
      </c>
      <c r="N101">
        <v>2.0000000000000001E-4</v>
      </c>
      <c r="O101">
        <v>2.0000000000000001E-4</v>
      </c>
    </row>
    <row r="102" spans="1:15" ht="15" thickBot="1" x14ac:dyDescent="0.35">
      <c r="A102" s="2" t="s">
        <v>11</v>
      </c>
      <c r="B102" s="2">
        <v>1E-3</v>
      </c>
      <c r="C102" s="2">
        <v>1E-3</v>
      </c>
      <c r="D102" s="2">
        <v>1E-3</v>
      </c>
      <c r="E102" s="2">
        <v>0</v>
      </c>
      <c r="F102" s="2">
        <v>0</v>
      </c>
      <c r="G102" s="6">
        <f t="shared" si="6"/>
        <v>6.0000000000000006E-4</v>
      </c>
      <c r="I102">
        <v>10000</v>
      </c>
      <c r="J102">
        <v>5.1000000000000004E-2</v>
      </c>
      <c r="K102">
        <v>0.11300000000000002</v>
      </c>
      <c r="L102">
        <v>0</v>
      </c>
      <c r="M102">
        <v>3.0000000000000001E-3</v>
      </c>
      <c r="N102">
        <v>4.0000000000000002E-4</v>
      </c>
      <c r="O102">
        <v>2.4000000000000002E-3</v>
      </c>
    </row>
    <row r="103" spans="1:15" ht="15" thickBot="1" x14ac:dyDescent="0.35">
      <c r="A103" s="2" t="s">
        <v>12</v>
      </c>
      <c r="B103" s="3">
        <v>1E-3</v>
      </c>
      <c r="C103" s="3">
        <v>0</v>
      </c>
      <c r="D103" s="3">
        <v>0</v>
      </c>
      <c r="E103" s="3">
        <v>0</v>
      </c>
      <c r="F103" s="3">
        <v>0</v>
      </c>
      <c r="G103" s="6">
        <f t="shared" si="6"/>
        <v>2.0000000000000001E-4</v>
      </c>
      <c r="I103">
        <v>100000</v>
      </c>
      <c r="J103">
        <v>8.2346000000000004</v>
      </c>
      <c r="K103">
        <v>4.7166000000000006</v>
      </c>
      <c r="L103">
        <v>4.0000000000000002E-4</v>
      </c>
      <c r="M103">
        <v>1.4599999999999998E-2</v>
      </c>
      <c r="N103">
        <v>6.7999999999999988E-3</v>
      </c>
      <c r="O103">
        <v>1.3999999999999999E-2</v>
      </c>
    </row>
    <row r="104" spans="1:15" ht="15" thickBot="1" x14ac:dyDescent="0.35">
      <c r="A104" s="2" t="s">
        <v>13</v>
      </c>
      <c r="B104" s="2">
        <v>0</v>
      </c>
      <c r="C104" s="2">
        <v>0</v>
      </c>
      <c r="D104" s="2">
        <v>1E-3</v>
      </c>
      <c r="E104" s="2">
        <v>0</v>
      </c>
      <c r="F104" s="2">
        <v>0</v>
      </c>
      <c r="G104" s="6">
        <f t="shared" si="6"/>
        <v>2.0000000000000001E-4</v>
      </c>
      <c r="I104">
        <v>1000000</v>
      </c>
      <c r="J104">
        <v>1010.3308</v>
      </c>
      <c r="K104">
        <v>1094.8928000000001</v>
      </c>
      <c r="L104">
        <v>3.0000000000000005E-3</v>
      </c>
      <c r="M104">
        <v>0.157</v>
      </c>
      <c r="N104">
        <v>0.23899999999999996</v>
      </c>
      <c r="O104">
        <v>0.16140000000000002</v>
      </c>
    </row>
    <row r="105" spans="1:15" ht="15" thickBot="1" x14ac:dyDescent="0.35">
      <c r="A105" s="1" t="s">
        <v>20</v>
      </c>
      <c r="G105" s="5"/>
    </row>
    <row r="106" spans="1:15" ht="28.2" thickBot="1" x14ac:dyDescent="0.35">
      <c r="A106" s="2" t="s">
        <v>1</v>
      </c>
      <c r="B106" s="2" t="s">
        <v>2</v>
      </c>
      <c r="C106" s="2" t="s">
        <v>3</v>
      </c>
      <c r="D106" s="2" t="s">
        <v>4</v>
      </c>
      <c r="E106" s="2" t="s">
        <v>5</v>
      </c>
      <c r="F106" s="2" t="s">
        <v>6</v>
      </c>
      <c r="G106" s="4" t="s">
        <v>16</v>
      </c>
    </row>
    <row r="107" spans="1:15" ht="15" thickBot="1" x14ac:dyDescent="0.35">
      <c r="A107" s="2" t="s">
        <v>8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4">
        <v>0</v>
      </c>
    </row>
    <row r="108" spans="1:15" ht="28.2" thickBot="1" x14ac:dyDescent="0.35">
      <c r="A108" s="2" t="s">
        <v>9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4">
        <v>0</v>
      </c>
    </row>
    <row r="109" spans="1:15" ht="15" thickBot="1" x14ac:dyDescent="0.35">
      <c r="A109" s="2" t="s">
        <v>10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  <c r="G109" s="4">
        <v>0</v>
      </c>
    </row>
    <row r="110" spans="1:15" ht="15" thickBot="1" x14ac:dyDescent="0.35">
      <c r="A110" s="2" t="s">
        <v>11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4">
        <v>0</v>
      </c>
    </row>
    <row r="111" spans="1:15" ht="15" thickBot="1" x14ac:dyDescent="0.35">
      <c r="A111" s="2" t="s">
        <v>12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6">
        <v>0</v>
      </c>
    </row>
    <row r="112" spans="1:15" ht="15" thickBot="1" x14ac:dyDescent="0.35">
      <c r="A112" s="2" t="s">
        <v>13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4">
        <v>0</v>
      </c>
    </row>
    <row r="113" spans="1:7" x14ac:dyDescent="0.3">
      <c r="G113" s="5"/>
    </row>
    <row r="114" spans="1:7" ht="15" thickBot="1" x14ac:dyDescent="0.35">
      <c r="A114" s="1" t="s">
        <v>20</v>
      </c>
      <c r="G114" s="5"/>
    </row>
    <row r="115" spans="1:7" ht="28.2" thickBot="1" x14ac:dyDescent="0.35">
      <c r="A115" s="2" t="s">
        <v>1</v>
      </c>
      <c r="B115" s="2" t="s">
        <v>2</v>
      </c>
      <c r="C115" s="2" t="s">
        <v>3</v>
      </c>
      <c r="D115" s="2" t="s">
        <v>4</v>
      </c>
      <c r="E115" s="2" t="s">
        <v>5</v>
      </c>
      <c r="F115" s="2" t="s">
        <v>6</v>
      </c>
      <c r="G115" s="4" t="s">
        <v>17</v>
      </c>
    </row>
    <row r="116" spans="1:7" ht="15" thickBot="1" x14ac:dyDescent="0.35">
      <c r="A116" s="2" t="s">
        <v>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4">
        <v>0</v>
      </c>
    </row>
    <row r="117" spans="1:7" ht="28.2" thickBot="1" x14ac:dyDescent="0.35">
      <c r="A117" s="2" t="s">
        <v>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4">
        <v>0</v>
      </c>
    </row>
    <row r="118" spans="1:7" ht="15" thickBot="1" x14ac:dyDescent="0.35">
      <c r="A118" s="2" t="s">
        <v>10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4">
        <v>0</v>
      </c>
    </row>
    <row r="119" spans="1:7" ht="15" thickBot="1" x14ac:dyDescent="0.35">
      <c r="A119" s="2" t="s">
        <v>11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4">
        <v>0</v>
      </c>
    </row>
    <row r="120" spans="1:7" ht="15" thickBot="1" x14ac:dyDescent="0.35">
      <c r="A120" s="2" t="s">
        <v>12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6">
        <v>0</v>
      </c>
    </row>
    <row r="121" spans="1:7" ht="15" thickBot="1" x14ac:dyDescent="0.35">
      <c r="A121" s="2" t="s">
        <v>13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4">
        <v>0</v>
      </c>
    </row>
    <row r="122" spans="1:7" x14ac:dyDescent="0.3">
      <c r="G122" s="5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891674-5F45-4980-82B5-ECAD690C93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JARED BORBE</dc:creator>
  <cp:lastModifiedBy>AUSTIN JARED BORBE</cp:lastModifiedBy>
  <dcterms:created xsi:type="dcterms:W3CDTF">2026-04-12T00:58:20Z</dcterms:created>
  <dcterms:modified xsi:type="dcterms:W3CDTF">2026-04-12T13:44:21Z</dcterms:modified>
</cp:coreProperties>
</file>